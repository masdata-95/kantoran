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ta Penjualan" sheetId="1" state="visible" r:id="rId3"/>
    <sheet name="📋 Brief &amp; Submi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<sst xmlns="http://schemas.openxmlformats.org/spreadsheetml/2006/main" count="242" uniqueCount="120">
  <si>
    <t xml:space="preserve">PT Vantara Nusantara — Data Penjualan Lumière | Januari 2026 | 342 Baris | ⚠️ Ada beberapa issue kualitas data — tugasmu menemukannya!</t>
  </si>
  <si>
    <t xml:space="preserve">order_id</t>
  </si>
  <si>
    <t xml:space="preserve">tanggal</t>
  </si>
  <si>
    <t xml:space="preserve">region</t>
  </si>
  <si>
    <t xml:space="preserve">SKU</t>
  </si>
  <si>
    <t xml:space="preserve">product_name</t>
  </si>
  <si>
    <t xml:space="preserve">qty</t>
  </si>
  <si>
    <t xml:space="preserve">unit_price</t>
  </si>
  <si>
    <t xml:space="preserve">revenue</t>
  </si>
  <si>
    <t xml:space="preserve">Analysis Notes</t>
  </si>
  <si>
    <t xml:space="preserve">ORD-001</t>
  </si>
  <si>
    <t xml:space="preserve">2026-01-05</t>
  </si>
  <si>
    <t xml:space="preserve">Jakarta</t>
  </si>
  <si>
    <t xml:space="preserve">LM-SERUM-30ML</t>
  </si>
  <si>
    <t xml:space="preserve">Lumière Serum 30ml</t>
  </si>
  <si>
    <t xml:space="preserve">ORD-002</t>
  </si>
  <si>
    <t xml:space="preserve">05/01/2026</t>
  </si>
  <si>
    <t xml:space="preserve">Surabaya</t>
  </si>
  <si>
    <t xml:space="preserve">LM-TONER-100ML</t>
  </si>
  <si>
    <t xml:space="preserve">Lumière Toner 100ml</t>
  </si>
  <si>
    <t xml:space="preserve">ORD-003</t>
  </si>
  <si>
    <t xml:space="preserve">2026-01-07</t>
  </si>
  <si>
    <t xml:space="preserve">NULL</t>
  </si>
  <si>
    <t xml:space="preserve">LM-SERUM-50ML</t>
  </si>
  <si>
    <t xml:space="preserve">Lumière Serum 50ml</t>
  </si>
  <si>
    <t xml:space="preserve">ORD-004</t>
  </si>
  <si>
    <t xml:space="preserve">2026-01-08</t>
  </si>
  <si>
    <t xml:space="preserve">Bandung</t>
  </si>
  <si>
    <t xml:space="preserve">LM-MOISTURIZER</t>
  </si>
  <si>
    <t xml:space="preserve">Lumière Moisturizer</t>
  </si>
  <si>
    <t xml:space="preserve">2026-01-09</t>
  </si>
  <si>
    <t xml:space="preserve">ORD-005</t>
  </si>
  <si>
    <t xml:space="preserve">2026-01-10</t>
  </si>
  <si>
    <t xml:space="preserve">Medan</t>
  </si>
  <si>
    <t xml:space="preserve">LM-EYE-CREAM</t>
  </si>
  <si>
    <t xml:space="preserve">Lumière Eye Cream</t>
  </si>
  <si>
    <t xml:space="preserve">ORD-006</t>
  </si>
  <si>
    <t xml:space="preserve">2026-01-11</t>
  </si>
  <si>
    <t xml:space="preserve">lm-serum-30ml</t>
  </si>
  <si>
    <t xml:space="preserve">ORD-007</t>
  </si>
  <si>
    <t xml:space="preserve">12-01-2026</t>
  </si>
  <si>
    <t xml:space="preserve">Bali</t>
  </si>
  <si>
    <t xml:space="preserve">ORD-008</t>
  </si>
  <si>
    <t xml:space="preserve">2026-01-13</t>
  </si>
  <si>
    <t xml:space="preserve">ORD-009</t>
  </si>
  <si>
    <t xml:space="preserve">2026-01-14</t>
  </si>
  <si>
    <t xml:space="preserve">Semarang</t>
  </si>
  <si>
    <t xml:space="preserve">ORD-010</t>
  </si>
  <si>
    <t xml:space="preserve">2026-01-15</t>
  </si>
  <si>
    <t xml:space="preserve">ORD-011</t>
  </si>
  <si>
    <t xml:space="preserve">2026-01-16</t>
  </si>
  <si>
    <t xml:space="preserve">Yogyakarta</t>
  </si>
  <si>
    <t xml:space="preserve">ORD-012</t>
  </si>
  <si>
    <t xml:space="preserve">2026-01-17</t>
  </si>
  <si>
    <t xml:space="preserve">Makassar</t>
  </si>
  <si>
    <t xml:space="preserve">ORD-013</t>
  </si>
  <si>
    <t xml:space="preserve">17/01/2026</t>
  </si>
  <si>
    <t xml:space="preserve">Palembang</t>
  </si>
  <si>
    <t xml:space="preserve">ORD-014</t>
  </si>
  <si>
    <t xml:space="preserve">2026-01-18</t>
  </si>
  <si>
    <t xml:space="preserve">LM-BB-CREAM</t>
  </si>
  <si>
    <t xml:space="preserve">Lumière BB Cream</t>
  </si>
  <si>
    <t xml:space="preserve">ORD-015</t>
  </si>
  <si>
    <t xml:space="preserve">2026-01-19</t>
  </si>
  <si>
    <t xml:space="preserve">ORD-016</t>
  </si>
  <si>
    <t xml:space="preserve">2026-01-20</t>
  </si>
  <si>
    <t xml:space="preserve">ORD-017</t>
  </si>
  <si>
    <t xml:space="preserve">2026-01-21</t>
  </si>
  <si>
    <t xml:space="preserve">ORD-018</t>
  </si>
  <si>
    <t xml:space="preserve">2026-01-22</t>
  </si>
  <si>
    <t xml:space="preserve">ORD-019</t>
  </si>
  <si>
    <t xml:space="preserve">2026-01-23</t>
  </si>
  <si>
    <t xml:space="preserve">ORD-020</t>
  </si>
  <si>
    <t xml:space="preserve">2026-01-24</t>
  </si>
  <si>
    <t xml:space="preserve">ORD-021</t>
  </si>
  <si>
    <t xml:space="preserve">2026-01-01</t>
  </si>
  <si>
    <t xml:space="preserve">ORD-022</t>
  </si>
  <si>
    <t xml:space="preserve">ORD-023</t>
  </si>
  <si>
    <t xml:space="preserve">2026-01-03</t>
  </si>
  <si>
    <t xml:space="preserve">ORD-024</t>
  </si>
  <si>
    <t xml:space="preserve">ORD-025</t>
  </si>
  <si>
    <t xml:space="preserve">ORD-026</t>
  </si>
  <si>
    <t xml:space="preserve">ORD-027</t>
  </si>
  <si>
    <t xml:space="preserve">ORD-028</t>
  </si>
  <si>
    <t xml:space="preserve">ORD-029</t>
  </si>
  <si>
    <t xml:space="preserve">ORD-030</t>
  </si>
  <si>
    <t xml:space="preserve">ORD-031</t>
  </si>
  <si>
    <t xml:space="preserve">2026-01-28</t>
  </si>
  <si>
    <t xml:space="preserve">ORD-032</t>
  </si>
  <si>
    <t xml:space="preserve">2026-01-26</t>
  </si>
  <si>
    <t xml:space="preserve">ORD-033</t>
  </si>
  <si>
    <t xml:space="preserve">ORD-034</t>
  </si>
  <si>
    <t xml:space="preserve">ORD-035</t>
  </si>
  <si>
    <t xml:space="preserve">ORD-036</t>
  </si>
  <si>
    <t xml:space="preserve">2026-01-02</t>
  </si>
  <si>
    <t xml:space="preserve">ORD-037</t>
  </si>
  <si>
    <t xml:space="preserve">ORD-038</t>
  </si>
  <si>
    <t xml:space="preserve">ORD-039</t>
  </si>
  <si>
    <t xml:space="preserve">2026-01-06</t>
  </si>
  <si>
    <t xml:space="preserve">ORD-040</t>
  </si>
  <si>
    <t xml:space="preserve">ORD-041</t>
  </si>
  <si>
    <t xml:space="preserve">TOTAL</t>
  </si>
  <si>
    <t xml:space="preserve">TASK BRIEF — Data Quality Check — Penjualan Lumière Januari 2026</t>
  </si>
  <si>
    <t xml:space="preserve">Deskripsi Task</t>
  </si>
  <si>
    <t xml:space="preserve">Temukan semua issue kualitas data di sheet Data Penjualan. Isi kolom "Analysis Notes" di setiap baris yang bermasalah, lalu submit.</t>
  </si>
  <si>
    <t xml:space="preserve">Deadline</t>
  </si>
  <si>
    <t xml:space="preserve">Besok jam 09.00</t>
  </si>
  <si>
    <t xml:space="preserve">Dikirim ke</t>
  </si>
  <si>
    <t xml:space="preserve">Supervisor (via Simulator Kantoran)</t>
  </si>
  <si>
    <t xml:space="preserve">Format</t>
  </si>
  <si>
    <t xml:space="preserve">Isi kolom Analysis Notes di sheet Data, lalu isi form submission di bawah</t>
  </si>
  <si>
    <t xml:space="preserve">💡 PANDUAN</t>
  </si>
  <si>
    <t xml:space="preserve">Petunjuk: Ada 5 jenis issue di dataset ini. Perhatikan: (1) Konsistensi format tanggal, (2) Nilai null/kosong, (3) Anomali angka, (4) Data duplikat, (5) Konsistensi format teks. Isi kolom Analysis Notes (kolom I) untuk setiap baris yang bermasalah.</t>
  </si>
  <si>
    <t xml:space="preserve">📝 FORM SUBMISSION — Isi di sini setelah analisis selesai</t>
  </si>
  <si>
    <t xml:space="preserve">Issue yang kamu temukan (sebutkan baris dan jenis issue-nya)</t>
  </si>
  <si>
    <t xml:space="preserve">[Isi jawaban kamu di sini]</t>
  </si>
  <si>
    <t xml:space="preserve">Dampak ke bisnis kalau issue ini dibiarkan</t>
  </si>
  <si>
    <t xml:space="preserve">Rekomendasi tindak lanjut</t>
  </si>
  <si>
    <t xml:space="preserve">Total baris bermasalah yang kamu temukan</t>
  </si>
  <si>
    <t xml:space="preserve">⚠️  Setelah mengisi form di atas, kembali ke Simulator Kantoran dan klik "Submit ke Supervisor"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</si>
</sst>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444441"/>
      <name val="Arial"/>
      <family val="0"/>
      <charset val="1"/>
    </font>
    <font>
      <b val="true"/>
      <sz val="10"/>
      <color rgb="FF854F0B"/>
      <name val="Arial"/>
      <family val="0"/>
      <charset val="1"/>
    </font>
    <font>
      <b val="true"/>
      <sz val="10"/>
      <color rgb="FF8B1A1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085041"/>
        <bgColor rgb="FF0F6E56"/>
      </patternFill>
    </fill>
    <fill>
      <patternFill patternType="solid">
        <fgColor rgb="FFFFFFFF"/>
        <bgColor rgb="FFF9F9F7"/>
      </patternFill>
    </fill>
    <fill>
      <patternFill patternType="solid">
        <fgColor rgb="FFDCFCE7"/>
        <bgColor rgb="FFE1F5EE"/>
      </patternFill>
    </fill>
    <fill>
      <patternFill patternType="solid">
        <fgColor rgb="FFFAEEDA"/>
        <bgColor rgb="FFFDECEA"/>
      </patternFill>
    </fill>
    <fill>
      <patternFill patternType="solid">
        <fgColor rgb="FFFDECEA"/>
        <bgColor rgb="FFFAEEDA"/>
      </patternFill>
    </fill>
    <fill>
      <patternFill patternType="solid">
        <fgColor rgb="FFF9F9F7"/>
        <bgColor rgb="FFFFFFFF"/>
      </patternFill>
    </fill>
    <fill>
      <patternFill patternType="solid">
        <fgColor rgb="FFF1EFE8"/>
        <bgColor rgb="FFFAEEDA"/>
      </patternFill>
    </fill>
    <fill>
      <patternFill patternType="solid">
        <fgColor rgb="FF1D9E75"/>
        <bgColor rgb="FF008080"/>
      </patternFill>
    </fill>
    <fill>
      <patternFill patternType="solid">
        <fgColor rgb="FFE1F5EE"/>
        <bgColor rgb="FFDCFC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CCCCCC"/>
      <rgbColor rgb="FF808080"/>
      <rgbColor rgb="FF9999FF"/>
      <rgbColor rgb="FF993366"/>
      <rgbColor rgb="FFFAEEDA"/>
      <rgbColor rgb="FFDCFCE7"/>
      <rgbColor rgb="FF660066"/>
      <rgbColor rgb="FFFF8080"/>
      <rgbColor rgb="FF0066CC"/>
      <rgbColor rgb="FFF9F9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1F5EE"/>
      <rgbColor rgb="FFF1EFE8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85041"/>
      <rgbColor rgb="FF1D9E75"/>
      <rgbColor rgb="FF003300"/>
      <rgbColor rgb="FF333300"/>
      <rgbColor rgb="FF8B1A1A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n">
        <v>12</v>
      </c>
      <c r="G3" s="3" t="n">
        <v>200000</v>
      </c>
      <c r="H3" s="4" t="n">
        <f aca="false">F3*G3</f>
        <v>2400000</v>
      </c>
      <c r="I3" s="5"/>
    </row>
    <row r="4" customFormat="false" ht="15" hidden="false" customHeight="false" outlineLevel="0" collapsed="false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n">
        <v>8</v>
      </c>
      <c r="G4" s="6" t="n">
        <v>120000</v>
      </c>
      <c r="H4" s="7" t="n">
        <f aca="false">F4*G4</f>
        <v>960000</v>
      </c>
      <c r="I4" s="8"/>
    </row>
    <row r="5" customFormat="false" ht="15" hidden="false" customHeight="false" outlineLevel="0" collapsed="false">
      <c r="A5" s="3" t="s">
        <v>20</v>
      </c>
      <c r="B5" s="3" t="s">
        <v>21</v>
      </c>
      <c r="C5" s="9" t="s">
        <v>22</v>
      </c>
      <c r="D5" s="3" t="s">
        <v>23</v>
      </c>
      <c r="E5" s="3" t="s">
        <v>24</v>
      </c>
      <c r="F5" s="3" t="n">
        <v>5</v>
      </c>
      <c r="G5" s="3" t="n">
        <v>350000</v>
      </c>
      <c r="H5" s="4" t="n">
        <f aca="false">F5*G5</f>
        <v>1750000</v>
      </c>
      <c r="I5" s="5"/>
    </row>
    <row r="6" customFormat="false" ht="15" hidden="false" customHeight="false" outlineLevel="0" collapsed="false">
      <c r="A6" s="10" t="s">
        <v>25</v>
      </c>
      <c r="B6" s="10" t="s">
        <v>26</v>
      </c>
      <c r="C6" s="10" t="s">
        <v>27</v>
      </c>
      <c r="D6" s="10" t="s">
        <v>28</v>
      </c>
      <c r="E6" s="10" t="s">
        <v>29</v>
      </c>
      <c r="F6" s="10" t="n">
        <v>3</v>
      </c>
      <c r="G6" s="10" t="n">
        <v>180000</v>
      </c>
      <c r="H6" s="9" t="n">
        <v>0</v>
      </c>
      <c r="I6" s="5"/>
    </row>
    <row r="7" customFormat="false" ht="15" hidden="false" customHeight="false" outlineLevel="0" collapsed="false">
      <c r="A7" s="6" t="s">
        <v>15</v>
      </c>
      <c r="B7" s="3" t="s">
        <v>30</v>
      </c>
      <c r="C7" s="3" t="s">
        <v>17</v>
      </c>
      <c r="D7" s="3" t="s">
        <v>18</v>
      </c>
      <c r="E7" s="3" t="s">
        <v>19</v>
      </c>
      <c r="F7" s="3" t="n">
        <v>8</v>
      </c>
      <c r="G7" s="3" t="n">
        <v>120000</v>
      </c>
      <c r="H7" s="4" t="n">
        <f aca="false">F7*G7</f>
        <v>960000</v>
      </c>
      <c r="I7" s="5"/>
    </row>
    <row r="8" customFormat="false" ht="15" hidden="false" customHeight="false" outlineLevel="0" collapsed="false">
      <c r="A8" s="10" t="s">
        <v>31</v>
      </c>
      <c r="B8" s="10" t="s">
        <v>32</v>
      </c>
      <c r="C8" s="10" t="s">
        <v>33</v>
      </c>
      <c r="D8" s="10" t="s">
        <v>34</v>
      </c>
      <c r="E8" s="10" t="s">
        <v>35</v>
      </c>
      <c r="F8" s="10" t="n">
        <v>6</v>
      </c>
      <c r="G8" s="10" t="n">
        <v>300000</v>
      </c>
      <c r="H8" s="11" t="n">
        <f aca="false">F8*G8</f>
        <v>1800000</v>
      </c>
      <c r="I8" s="5"/>
    </row>
    <row r="9" customFormat="false" ht="15" hidden="false" customHeight="false" outlineLevel="0" collapsed="false">
      <c r="A9" s="3" t="s">
        <v>36</v>
      </c>
      <c r="B9" s="3" t="s">
        <v>37</v>
      </c>
      <c r="C9" s="3" t="s">
        <v>12</v>
      </c>
      <c r="D9" s="6" t="s">
        <v>38</v>
      </c>
      <c r="E9" s="3" t="s">
        <v>14</v>
      </c>
      <c r="F9" s="3" t="n">
        <v>9</v>
      </c>
      <c r="G9" s="3" t="n">
        <v>200000</v>
      </c>
      <c r="H9" s="4" t="n">
        <f aca="false">F9*G9</f>
        <v>1800000</v>
      </c>
      <c r="I9" s="5"/>
    </row>
    <row r="10" customFormat="false" ht="15" hidden="false" customHeight="false" outlineLevel="0" collapsed="false">
      <c r="A10" s="6" t="s">
        <v>39</v>
      </c>
      <c r="B10" s="6" t="s">
        <v>40</v>
      </c>
      <c r="C10" s="6" t="s">
        <v>41</v>
      </c>
      <c r="D10" s="6" t="s">
        <v>13</v>
      </c>
      <c r="E10" s="6" t="s">
        <v>14</v>
      </c>
      <c r="F10" s="6" t="n">
        <v>4</v>
      </c>
      <c r="G10" s="6" t="n">
        <v>200000</v>
      </c>
      <c r="H10" s="7" t="n">
        <f aca="false">F10*G10</f>
        <v>800000</v>
      </c>
      <c r="I10" s="8"/>
    </row>
    <row r="11" customFormat="false" ht="15" hidden="false" customHeight="false" outlineLevel="0" collapsed="false">
      <c r="A11" s="3" t="s">
        <v>42</v>
      </c>
      <c r="B11" s="3" t="s">
        <v>43</v>
      </c>
      <c r="C11" s="9" t="s">
        <v>22</v>
      </c>
      <c r="D11" s="3" t="s">
        <v>28</v>
      </c>
      <c r="E11" s="3" t="s">
        <v>29</v>
      </c>
      <c r="F11" s="3" t="n">
        <v>7</v>
      </c>
      <c r="G11" s="3" t="n">
        <v>180000</v>
      </c>
      <c r="H11" s="4" t="n">
        <f aca="false">F11*G11</f>
        <v>1260000</v>
      </c>
      <c r="I11" s="5"/>
    </row>
    <row r="12" customFormat="false" ht="15" hidden="false" customHeight="false" outlineLevel="0" collapsed="false">
      <c r="A12" s="10" t="s">
        <v>44</v>
      </c>
      <c r="B12" s="10" t="s">
        <v>45</v>
      </c>
      <c r="C12" s="10" t="s">
        <v>46</v>
      </c>
      <c r="D12" s="10" t="s">
        <v>18</v>
      </c>
      <c r="E12" s="10" t="s">
        <v>19</v>
      </c>
      <c r="F12" s="10" t="n">
        <v>11</v>
      </c>
      <c r="G12" s="10" t="n">
        <v>120000</v>
      </c>
      <c r="H12" s="11" t="n">
        <f aca="false">F12*G12</f>
        <v>1320000</v>
      </c>
      <c r="I12" s="5"/>
    </row>
    <row r="13" customFormat="false" ht="15" hidden="false" customHeight="false" outlineLevel="0" collapsed="false">
      <c r="A13" s="3" t="s">
        <v>47</v>
      </c>
      <c r="B13" s="3" t="s">
        <v>48</v>
      </c>
      <c r="C13" s="3" t="s">
        <v>12</v>
      </c>
      <c r="D13" s="3" t="s">
        <v>34</v>
      </c>
      <c r="E13" s="3" t="s">
        <v>35</v>
      </c>
      <c r="F13" s="3" t="n">
        <v>2</v>
      </c>
      <c r="G13" s="3" t="n">
        <v>300000</v>
      </c>
      <c r="H13" s="9" t="n">
        <v>0</v>
      </c>
      <c r="I13" s="5"/>
    </row>
    <row r="14" customFormat="false" ht="15" hidden="false" customHeight="false" outlineLevel="0" collapsed="false">
      <c r="A14" s="10" t="s">
        <v>49</v>
      </c>
      <c r="B14" s="10" t="s">
        <v>50</v>
      </c>
      <c r="C14" s="10" t="s">
        <v>51</v>
      </c>
      <c r="D14" s="10" t="s">
        <v>23</v>
      </c>
      <c r="E14" s="10" t="s">
        <v>24</v>
      </c>
      <c r="F14" s="10" t="n">
        <v>8</v>
      </c>
      <c r="G14" s="10" t="n">
        <v>350000</v>
      </c>
      <c r="H14" s="11" t="n">
        <f aca="false">F14*G14</f>
        <v>2800000</v>
      </c>
      <c r="I14" s="5"/>
    </row>
    <row r="15" customFormat="false" ht="15" hidden="false" customHeight="false" outlineLevel="0" collapsed="false">
      <c r="A15" s="3" t="s">
        <v>52</v>
      </c>
      <c r="B15" s="3" t="s">
        <v>53</v>
      </c>
      <c r="C15" s="3" t="s">
        <v>54</v>
      </c>
      <c r="D15" s="3" t="s">
        <v>28</v>
      </c>
      <c r="E15" s="3" t="s">
        <v>29</v>
      </c>
      <c r="F15" s="3" t="n">
        <v>14</v>
      </c>
      <c r="G15" s="3" t="n">
        <v>180000</v>
      </c>
      <c r="H15" s="4" t="n">
        <f aca="false">F15*G15</f>
        <v>2520000</v>
      </c>
      <c r="I15" s="5"/>
    </row>
    <row r="16" customFormat="false" ht="15" hidden="false" customHeight="false" outlineLevel="0" collapsed="false">
      <c r="A16" s="6" t="s">
        <v>55</v>
      </c>
      <c r="B16" s="6" t="s">
        <v>56</v>
      </c>
      <c r="C16" s="6" t="s">
        <v>57</v>
      </c>
      <c r="D16" s="6" t="s">
        <v>13</v>
      </c>
      <c r="E16" s="6" t="s">
        <v>14</v>
      </c>
      <c r="F16" s="6" t="n">
        <v>3</v>
      </c>
      <c r="G16" s="6" t="n">
        <v>200000</v>
      </c>
      <c r="H16" s="7" t="n">
        <f aca="false">F16*G16</f>
        <v>600000</v>
      </c>
      <c r="I16" s="8"/>
    </row>
    <row r="17" customFormat="false" ht="15" hidden="false" customHeight="false" outlineLevel="0" collapsed="false">
      <c r="A17" s="3" t="s">
        <v>58</v>
      </c>
      <c r="B17" s="3" t="s">
        <v>59</v>
      </c>
      <c r="C17" s="3" t="s">
        <v>12</v>
      </c>
      <c r="D17" s="3" t="s">
        <v>60</v>
      </c>
      <c r="E17" s="3" t="s">
        <v>61</v>
      </c>
      <c r="F17" s="3" t="n">
        <v>6</v>
      </c>
      <c r="G17" s="3" t="n">
        <v>150000</v>
      </c>
      <c r="H17" s="4" t="n">
        <f aca="false">F17*G17</f>
        <v>900000</v>
      </c>
      <c r="I17" s="5"/>
    </row>
    <row r="18" customFormat="false" ht="15" hidden="false" customHeight="false" outlineLevel="0" collapsed="false">
      <c r="A18" s="10" t="s">
        <v>62</v>
      </c>
      <c r="B18" s="10" t="s">
        <v>63</v>
      </c>
      <c r="C18" s="9" t="s">
        <v>22</v>
      </c>
      <c r="D18" s="10" t="s">
        <v>18</v>
      </c>
      <c r="E18" s="10" t="s">
        <v>19</v>
      </c>
      <c r="F18" s="10" t="n">
        <v>9</v>
      </c>
      <c r="G18" s="10" t="n">
        <v>120000</v>
      </c>
      <c r="H18" s="11" t="n">
        <f aca="false">F18*G18</f>
        <v>1080000</v>
      </c>
      <c r="I18" s="5"/>
    </row>
    <row r="19" customFormat="false" ht="15" hidden="false" customHeight="false" outlineLevel="0" collapsed="false">
      <c r="A19" s="3" t="s">
        <v>64</v>
      </c>
      <c r="B19" s="3" t="s">
        <v>65</v>
      </c>
      <c r="C19" s="3" t="s">
        <v>17</v>
      </c>
      <c r="D19" s="3" t="s">
        <v>13</v>
      </c>
      <c r="E19" s="3" t="s">
        <v>14</v>
      </c>
      <c r="F19" s="3" t="n">
        <v>15</v>
      </c>
      <c r="G19" s="3" t="n">
        <v>200000</v>
      </c>
      <c r="H19" s="4" t="n">
        <f aca="false">F19*G19</f>
        <v>3000000</v>
      </c>
      <c r="I19" s="5"/>
    </row>
    <row r="20" customFormat="false" ht="15" hidden="false" customHeight="false" outlineLevel="0" collapsed="false">
      <c r="A20" s="10" t="s">
        <v>66</v>
      </c>
      <c r="B20" s="10" t="s">
        <v>67</v>
      </c>
      <c r="C20" s="10" t="s">
        <v>27</v>
      </c>
      <c r="D20" s="10" t="s">
        <v>34</v>
      </c>
      <c r="E20" s="10" t="s">
        <v>35</v>
      </c>
      <c r="F20" s="10" t="n">
        <v>1</v>
      </c>
      <c r="G20" s="10" t="n">
        <v>300000</v>
      </c>
      <c r="H20" s="9" t="n">
        <v>0</v>
      </c>
      <c r="I20" s="5"/>
    </row>
    <row r="21" customFormat="false" ht="15" hidden="false" customHeight="false" outlineLevel="0" collapsed="false">
      <c r="A21" s="3" t="s">
        <v>68</v>
      </c>
      <c r="B21" s="3" t="s">
        <v>69</v>
      </c>
      <c r="C21" s="3" t="s">
        <v>12</v>
      </c>
      <c r="D21" s="3" t="s">
        <v>60</v>
      </c>
      <c r="E21" s="3" t="s">
        <v>61</v>
      </c>
      <c r="F21" s="3" t="n">
        <v>22</v>
      </c>
      <c r="G21" s="3" t="n">
        <v>150000</v>
      </c>
      <c r="H21" s="4" t="n">
        <f aca="false">F21*G21</f>
        <v>3300000</v>
      </c>
      <c r="I21" s="5"/>
    </row>
    <row r="22" customFormat="false" ht="15" hidden="false" customHeight="false" outlineLevel="0" collapsed="false">
      <c r="A22" s="10" t="s">
        <v>70</v>
      </c>
      <c r="B22" s="10" t="s">
        <v>71</v>
      </c>
      <c r="C22" s="10" t="s">
        <v>33</v>
      </c>
      <c r="D22" s="10" t="s">
        <v>28</v>
      </c>
      <c r="E22" s="10" t="s">
        <v>29</v>
      </c>
      <c r="F22" s="10" t="n">
        <v>5</v>
      </c>
      <c r="G22" s="10" t="n">
        <v>180000</v>
      </c>
      <c r="H22" s="11" t="n">
        <f aca="false">F22*G22</f>
        <v>900000</v>
      </c>
      <c r="I22" s="5"/>
    </row>
    <row r="23" customFormat="false" ht="15" hidden="false" customHeight="false" outlineLevel="0" collapsed="false">
      <c r="A23" s="3" t="s">
        <v>72</v>
      </c>
      <c r="B23" s="3" t="s">
        <v>73</v>
      </c>
      <c r="C23" s="3" t="s">
        <v>12</v>
      </c>
      <c r="D23" s="3" t="s">
        <v>23</v>
      </c>
      <c r="E23" s="3" t="s">
        <v>24</v>
      </c>
      <c r="F23" s="3" t="n">
        <v>11</v>
      </c>
      <c r="G23" s="3" t="n">
        <v>350000</v>
      </c>
      <c r="H23" s="4" t="n">
        <f aca="false">F23*G23</f>
        <v>3850000</v>
      </c>
      <c r="I23" s="5"/>
    </row>
    <row r="24" customFormat="false" ht="15" hidden="false" customHeight="false" outlineLevel="0" collapsed="false">
      <c r="A24" s="10" t="s">
        <v>74</v>
      </c>
      <c r="B24" s="10" t="s">
        <v>75</v>
      </c>
      <c r="C24" s="10" t="s">
        <v>46</v>
      </c>
      <c r="D24" s="10" t="s">
        <v>60</v>
      </c>
      <c r="E24" s="10" t="s">
        <v>61</v>
      </c>
      <c r="F24" s="10" t="n">
        <v>5</v>
      </c>
      <c r="G24" s="10" t="n">
        <v>150000</v>
      </c>
      <c r="H24" s="11" t="n">
        <f aca="false">F24*G24</f>
        <v>750000</v>
      </c>
      <c r="I24" s="5"/>
    </row>
    <row r="25" customFormat="false" ht="15" hidden="false" customHeight="false" outlineLevel="0" collapsed="false">
      <c r="A25" s="3" t="s">
        <v>76</v>
      </c>
      <c r="B25" s="3" t="s">
        <v>11</v>
      </c>
      <c r="C25" s="3" t="s">
        <v>17</v>
      </c>
      <c r="D25" s="3" t="s">
        <v>18</v>
      </c>
      <c r="E25" s="3" t="s">
        <v>19</v>
      </c>
      <c r="F25" s="3" t="n">
        <v>9</v>
      </c>
      <c r="G25" s="3" t="n">
        <v>120000</v>
      </c>
      <c r="H25" s="4" t="n">
        <f aca="false">F25*G25</f>
        <v>1080000</v>
      </c>
      <c r="I25" s="5"/>
    </row>
    <row r="26" customFormat="false" ht="15" hidden="false" customHeight="false" outlineLevel="0" collapsed="false">
      <c r="A26" s="10" t="s">
        <v>77</v>
      </c>
      <c r="B26" s="10" t="s">
        <v>78</v>
      </c>
      <c r="C26" s="10" t="s">
        <v>54</v>
      </c>
      <c r="D26" s="10" t="s">
        <v>60</v>
      </c>
      <c r="E26" s="10" t="s">
        <v>61</v>
      </c>
      <c r="F26" s="10" t="n">
        <v>19</v>
      </c>
      <c r="G26" s="10" t="n">
        <v>150000</v>
      </c>
      <c r="H26" s="11" t="n">
        <f aca="false">F26*G26</f>
        <v>2850000</v>
      </c>
      <c r="I26" s="5"/>
    </row>
    <row r="27" customFormat="false" ht="15" hidden="false" customHeight="false" outlineLevel="0" collapsed="false">
      <c r="A27" s="3" t="s">
        <v>79</v>
      </c>
      <c r="B27" s="3" t="s">
        <v>78</v>
      </c>
      <c r="C27" s="3" t="s">
        <v>33</v>
      </c>
      <c r="D27" s="3" t="s">
        <v>13</v>
      </c>
      <c r="E27" s="3" t="s">
        <v>14</v>
      </c>
      <c r="F27" s="3" t="n">
        <v>2</v>
      </c>
      <c r="G27" s="3" t="n">
        <v>200000</v>
      </c>
      <c r="H27" s="4" t="n">
        <f aca="false">F27*G27</f>
        <v>400000</v>
      </c>
      <c r="I27" s="5"/>
    </row>
    <row r="28" customFormat="false" ht="15" hidden="false" customHeight="false" outlineLevel="0" collapsed="false">
      <c r="A28" s="10" t="s">
        <v>80</v>
      </c>
      <c r="B28" s="10" t="s">
        <v>65</v>
      </c>
      <c r="C28" s="10" t="s">
        <v>12</v>
      </c>
      <c r="D28" s="10" t="s">
        <v>18</v>
      </c>
      <c r="E28" s="10" t="s">
        <v>19</v>
      </c>
      <c r="F28" s="10" t="n">
        <v>18</v>
      </c>
      <c r="G28" s="10" t="n">
        <v>120000</v>
      </c>
      <c r="H28" s="11" t="n">
        <f aca="false">F28*G28</f>
        <v>2160000</v>
      </c>
      <c r="I28" s="5"/>
    </row>
    <row r="29" customFormat="false" ht="15" hidden="false" customHeight="false" outlineLevel="0" collapsed="false">
      <c r="A29" s="3" t="s">
        <v>81</v>
      </c>
      <c r="B29" s="3" t="s">
        <v>71</v>
      </c>
      <c r="C29" s="3" t="s">
        <v>41</v>
      </c>
      <c r="D29" s="3" t="s">
        <v>34</v>
      </c>
      <c r="E29" s="3" t="s">
        <v>35</v>
      </c>
      <c r="F29" s="3" t="n">
        <v>8</v>
      </c>
      <c r="G29" s="3" t="n">
        <v>300000</v>
      </c>
      <c r="H29" s="4" t="n">
        <f aca="false">F29*G29</f>
        <v>2400000</v>
      </c>
      <c r="I29" s="5"/>
    </row>
    <row r="30" customFormat="false" ht="15" hidden="false" customHeight="false" outlineLevel="0" collapsed="false">
      <c r="A30" s="10" t="s">
        <v>82</v>
      </c>
      <c r="B30" s="10" t="s">
        <v>48</v>
      </c>
      <c r="C30" s="10" t="s">
        <v>46</v>
      </c>
      <c r="D30" s="10" t="s">
        <v>28</v>
      </c>
      <c r="E30" s="10" t="s">
        <v>29</v>
      </c>
      <c r="F30" s="10" t="n">
        <v>9</v>
      </c>
      <c r="G30" s="10" t="n">
        <v>180000</v>
      </c>
      <c r="H30" s="11" t="n">
        <f aca="false">F30*G30</f>
        <v>1620000</v>
      </c>
      <c r="I30" s="5"/>
    </row>
    <row r="31" customFormat="false" ht="15" hidden="false" customHeight="false" outlineLevel="0" collapsed="false">
      <c r="A31" s="3" t="s">
        <v>83</v>
      </c>
      <c r="B31" s="3" t="s">
        <v>71</v>
      </c>
      <c r="C31" s="3" t="s">
        <v>54</v>
      </c>
      <c r="D31" s="3" t="s">
        <v>13</v>
      </c>
      <c r="E31" s="3" t="s">
        <v>14</v>
      </c>
      <c r="F31" s="3" t="n">
        <v>7</v>
      </c>
      <c r="G31" s="3" t="n">
        <v>200000</v>
      </c>
      <c r="H31" s="4" t="n">
        <f aca="false">F31*G31</f>
        <v>1400000</v>
      </c>
      <c r="I31" s="5"/>
    </row>
    <row r="32" customFormat="false" ht="15" hidden="false" customHeight="false" outlineLevel="0" collapsed="false">
      <c r="A32" s="10" t="s">
        <v>84</v>
      </c>
      <c r="B32" s="10" t="s">
        <v>11</v>
      </c>
      <c r="C32" s="10" t="s">
        <v>33</v>
      </c>
      <c r="D32" s="10" t="s">
        <v>23</v>
      </c>
      <c r="E32" s="10" t="s">
        <v>24</v>
      </c>
      <c r="F32" s="10" t="n">
        <v>10</v>
      </c>
      <c r="G32" s="10" t="n">
        <v>350000</v>
      </c>
      <c r="H32" s="11" t="n">
        <f aca="false">F32*G32</f>
        <v>3500000</v>
      </c>
      <c r="I32" s="5"/>
    </row>
    <row r="33" customFormat="false" ht="15" hidden="false" customHeight="false" outlineLevel="0" collapsed="false">
      <c r="A33" s="3" t="s">
        <v>85</v>
      </c>
      <c r="B33" s="3" t="s">
        <v>78</v>
      </c>
      <c r="C33" s="3" t="s">
        <v>54</v>
      </c>
      <c r="D33" s="3" t="s">
        <v>23</v>
      </c>
      <c r="E33" s="3" t="s">
        <v>24</v>
      </c>
      <c r="F33" s="3" t="n">
        <v>5</v>
      </c>
      <c r="G33" s="3" t="n">
        <v>350000</v>
      </c>
      <c r="H33" s="4" t="n">
        <f aca="false">F33*G33</f>
        <v>1750000</v>
      </c>
      <c r="I33" s="5"/>
    </row>
    <row r="34" customFormat="false" ht="15" hidden="false" customHeight="false" outlineLevel="0" collapsed="false">
      <c r="A34" s="10" t="s">
        <v>86</v>
      </c>
      <c r="B34" s="10" t="s">
        <v>87</v>
      </c>
      <c r="C34" s="10" t="s">
        <v>51</v>
      </c>
      <c r="D34" s="10" t="s">
        <v>13</v>
      </c>
      <c r="E34" s="10" t="s">
        <v>14</v>
      </c>
      <c r="F34" s="10" t="n">
        <v>13</v>
      </c>
      <c r="G34" s="10" t="n">
        <v>200000</v>
      </c>
      <c r="H34" s="11" t="n">
        <f aca="false">F34*G34</f>
        <v>2600000</v>
      </c>
      <c r="I34" s="5"/>
    </row>
    <row r="35" customFormat="false" ht="15" hidden="false" customHeight="false" outlineLevel="0" collapsed="false">
      <c r="A35" s="3" t="s">
        <v>88</v>
      </c>
      <c r="B35" s="3" t="s">
        <v>89</v>
      </c>
      <c r="C35" s="3" t="s">
        <v>12</v>
      </c>
      <c r="D35" s="3" t="s">
        <v>34</v>
      </c>
      <c r="E35" s="3" t="s">
        <v>35</v>
      </c>
      <c r="F35" s="3" t="n">
        <v>10</v>
      </c>
      <c r="G35" s="3" t="n">
        <v>300000</v>
      </c>
      <c r="H35" s="4" t="n">
        <f aca="false">F35*G35</f>
        <v>3000000</v>
      </c>
      <c r="I35" s="5"/>
    </row>
    <row r="36" customFormat="false" ht="15" hidden="false" customHeight="false" outlineLevel="0" collapsed="false">
      <c r="A36" s="10" t="s">
        <v>90</v>
      </c>
      <c r="B36" s="10" t="s">
        <v>59</v>
      </c>
      <c r="C36" s="10" t="s">
        <v>17</v>
      </c>
      <c r="D36" s="10" t="s">
        <v>60</v>
      </c>
      <c r="E36" s="10" t="s">
        <v>61</v>
      </c>
      <c r="F36" s="10" t="n">
        <v>16</v>
      </c>
      <c r="G36" s="10" t="n">
        <v>150000</v>
      </c>
      <c r="H36" s="11" t="n">
        <f aca="false">F36*G36</f>
        <v>2400000</v>
      </c>
      <c r="I36" s="5"/>
    </row>
    <row r="37" customFormat="false" ht="15" hidden="false" customHeight="false" outlineLevel="0" collapsed="false">
      <c r="A37" s="3" t="s">
        <v>91</v>
      </c>
      <c r="B37" s="3" t="s">
        <v>59</v>
      </c>
      <c r="C37" s="3" t="s">
        <v>46</v>
      </c>
      <c r="D37" s="3" t="s">
        <v>28</v>
      </c>
      <c r="E37" s="3" t="s">
        <v>29</v>
      </c>
      <c r="F37" s="3" t="n">
        <v>4</v>
      </c>
      <c r="G37" s="3" t="n">
        <v>180000</v>
      </c>
      <c r="H37" s="4" t="n">
        <f aca="false">F37*G37</f>
        <v>720000</v>
      </c>
      <c r="I37" s="5"/>
    </row>
    <row r="38" customFormat="false" ht="15" hidden="false" customHeight="false" outlineLevel="0" collapsed="false">
      <c r="A38" s="10" t="s">
        <v>92</v>
      </c>
      <c r="B38" s="10" t="s">
        <v>63</v>
      </c>
      <c r="C38" s="10" t="s">
        <v>33</v>
      </c>
      <c r="D38" s="10" t="s">
        <v>60</v>
      </c>
      <c r="E38" s="10" t="s">
        <v>61</v>
      </c>
      <c r="F38" s="10" t="n">
        <v>13</v>
      </c>
      <c r="G38" s="10" t="n">
        <v>150000</v>
      </c>
      <c r="H38" s="11" t="n">
        <f aca="false">F38*G38</f>
        <v>1950000</v>
      </c>
      <c r="I38" s="5"/>
    </row>
    <row r="39" customFormat="false" ht="15" hidden="false" customHeight="false" outlineLevel="0" collapsed="false">
      <c r="A39" s="3" t="s">
        <v>93</v>
      </c>
      <c r="B39" s="3" t="s">
        <v>94</v>
      </c>
      <c r="C39" s="3" t="s">
        <v>33</v>
      </c>
      <c r="D39" s="3" t="s">
        <v>60</v>
      </c>
      <c r="E39" s="3" t="s">
        <v>61</v>
      </c>
      <c r="F39" s="3" t="n">
        <v>4</v>
      </c>
      <c r="G39" s="3" t="n">
        <v>150000</v>
      </c>
      <c r="H39" s="4" t="n">
        <f aca="false">F39*G39</f>
        <v>600000</v>
      </c>
      <c r="I39" s="5"/>
    </row>
    <row r="40" customFormat="false" ht="15" hidden="false" customHeight="false" outlineLevel="0" collapsed="false">
      <c r="A40" s="10" t="s">
        <v>95</v>
      </c>
      <c r="B40" s="10" t="s">
        <v>87</v>
      </c>
      <c r="C40" s="10" t="s">
        <v>33</v>
      </c>
      <c r="D40" s="10" t="s">
        <v>23</v>
      </c>
      <c r="E40" s="10" t="s">
        <v>24</v>
      </c>
      <c r="F40" s="10" t="n">
        <v>4</v>
      </c>
      <c r="G40" s="10" t="n">
        <v>350000</v>
      </c>
      <c r="H40" s="11" t="n">
        <f aca="false">F40*G40</f>
        <v>1400000</v>
      </c>
      <c r="I40" s="5"/>
    </row>
    <row r="41" customFormat="false" ht="15" hidden="false" customHeight="false" outlineLevel="0" collapsed="false">
      <c r="A41" s="3" t="s">
        <v>96</v>
      </c>
      <c r="B41" s="3" t="s">
        <v>30</v>
      </c>
      <c r="C41" s="3" t="s">
        <v>57</v>
      </c>
      <c r="D41" s="3" t="s">
        <v>13</v>
      </c>
      <c r="E41" s="3" t="s">
        <v>14</v>
      </c>
      <c r="F41" s="3" t="n">
        <v>14</v>
      </c>
      <c r="G41" s="3" t="n">
        <v>200000</v>
      </c>
      <c r="H41" s="4" t="n">
        <f aca="false">F41*G41</f>
        <v>2800000</v>
      </c>
      <c r="I41" s="5"/>
    </row>
    <row r="42" customFormat="false" ht="15" hidden="false" customHeight="false" outlineLevel="0" collapsed="false">
      <c r="A42" s="10" t="s">
        <v>97</v>
      </c>
      <c r="B42" s="10" t="s">
        <v>98</v>
      </c>
      <c r="C42" s="10" t="s">
        <v>51</v>
      </c>
      <c r="D42" s="10" t="s">
        <v>60</v>
      </c>
      <c r="E42" s="10" t="s">
        <v>61</v>
      </c>
      <c r="F42" s="10" t="n">
        <v>13</v>
      </c>
      <c r="G42" s="10" t="n">
        <v>150000</v>
      </c>
      <c r="H42" s="11" t="n">
        <f aca="false">F42*G42</f>
        <v>1950000</v>
      </c>
      <c r="I42" s="5"/>
    </row>
    <row r="43" customFormat="false" ht="15" hidden="false" customHeight="false" outlineLevel="0" collapsed="false">
      <c r="A43" s="3" t="s">
        <v>99</v>
      </c>
      <c r="B43" s="3" t="s">
        <v>69</v>
      </c>
      <c r="C43" s="3" t="s">
        <v>46</v>
      </c>
      <c r="D43" s="3" t="s">
        <v>23</v>
      </c>
      <c r="E43" s="3" t="s">
        <v>24</v>
      </c>
      <c r="F43" s="3" t="n">
        <v>8</v>
      </c>
      <c r="G43" s="3" t="n">
        <v>350000</v>
      </c>
      <c r="H43" s="4" t="n">
        <f aca="false">F43*G43</f>
        <v>2800000</v>
      </c>
      <c r="I43" s="5"/>
    </row>
    <row r="44" customFormat="false" ht="15" hidden="false" customHeight="false" outlineLevel="0" collapsed="false">
      <c r="A44" s="10" t="s">
        <v>100</v>
      </c>
      <c r="B44" s="10" t="s">
        <v>65</v>
      </c>
      <c r="C44" s="10" t="s">
        <v>27</v>
      </c>
      <c r="D44" s="10" t="s">
        <v>60</v>
      </c>
      <c r="E44" s="10" t="s">
        <v>61</v>
      </c>
      <c r="F44" s="10" t="n">
        <v>4</v>
      </c>
      <c r="G44" s="10" t="n">
        <v>150000</v>
      </c>
      <c r="H44" s="11" t="n">
        <f aca="false">F44*G44</f>
        <v>600000</v>
      </c>
      <c r="I44" s="5"/>
    </row>
    <row r="45" customFormat="false" ht="15" hidden="false" customHeight="false" outlineLevel="0" collapsed="false">
      <c r="A45" s="12" t="s">
        <v>101</v>
      </c>
      <c r="B45" s="12"/>
      <c r="C45" s="12"/>
      <c r="D45" s="12"/>
      <c r="E45" s="12"/>
      <c r="F45" s="13" t="n">
        <f aca="false">SUM(F3:F44)</f>
        <v>364</v>
      </c>
      <c r="H45" s="14" t="n">
        <f aca="false">SUM(H3:H44)</f>
        <v>70730000</v>
      </c>
    </row>
  </sheetData>
  <mergeCells count="2">
    <mergeCell ref="A1:H1"/>
    <mergeCell ref="A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</cols>
  <sheetData>
    <row r="1" customFormat="false" ht="31.5" hidden="false" customHeight="true" outlineLevel="0" collapsed="false">
      <c r="A1" s="15" t="s">
        <v>102</v>
      </c>
      <c r="B1" s="15"/>
    </row>
    <row r="2" customFormat="false" ht="36" hidden="false" customHeight="true" outlineLevel="0" collapsed="false">
      <c r="A2" s="16" t="s">
        <v>103</v>
      </c>
      <c r="B2" s="17" t="s">
        <v>104</v>
      </c>
    </row>
    <row r="3" customFormat="false" ht="36" hidden="false" customHeight="true" outlineLevel="0" collapsed="false">
      <c r="A3" s="16" t="s">
        <v>105</v>
      </c>
      <c r="B3" s="17" t="s">
        <v>106</v>
      </c>
    </row>
    <row r="4" customFormat="false" ht="36" hidden="false" customHeight="true" outlineLevel="0" collapsed="false">
      <c r="A4" s="16" t="s">
        <v>107</v>
      </c>
      <c r="B4" s="17" t="s">
        <v>108</v>
      </c>
    </row>
    <row r="5" customFormat="false" ht="36" hidden="false" customHeight="true" outlineLevel="0" collapsed="false">
      <c r="A5" s="16" t="s">
        <v>109</v>
      </c>
      <c r="B5" s="17" t="s">
        <v>110</v>
      </c>
    </row>
    <row r="7" customFormat="false" ht="24" hidden="false" customHeight="true" outlineLevel="0" collapsed="false">
      <c r="A7" s="18" t="s">
        <v>111</v>
      </c>
      <c r="B7" s="18"/>
    </row>
    <row r="8" customFormat="false" ht="60" hidden="false" customHeight="true" outlineLevel="0" collapsed="false">
      <c r="A8" s="19" t="s">
        <v>112</v>
      </c>
      <c r="B8" s="19"/>
    </row>
    <row r="10" customFormat="false" ht="27.75" hidden="false" customHeight="true" outlineLevel="0" collapsed="false">
      <c r="A10" s="20" t="s">
        <v>113</v>
      </c>
      <c r="B10" s="20"/>
    </row>
    <row r="11" customFormat="false" ht="49.5" hidden="false" customHeight="true" outlineLevel="0" collapsed="false">
      <c r="A11" s="16" t="s">
        <v>114</v>
      </c>
      <c r="B11" s="21" t="s">
        <v>115</v>
      </c>
    </row>
    <row r="12" customFormat="false" ht="49.5" hidden="false" customHeight="true" outlineLevel="0" collapsed="false">
      <c r="A12" s="16" t="s">
        <v>116</v>
      </c>
      <c r="B12" s="21" t="s">
        <v>115</v>
      </c>
    </row>
    <row r="13" customFormat="false" ht="49.5" hidden="false" customHeight="true" outlineLevel="0" collapsed="false">
      <c r="A13" s="16" t="s">
        <v>117</v>
      </c>
      <c r="B13" s="21" t="s">
        <v>115</v>
      </c>
    </row>
    <row r="14" customFormat="false" ht="49.5" hidden="false" customHeight="true" outlineLevel="0" collapsed="false">
      <c r="A14" s="16" t="s">
        <v>118</v>
      </c>
      <c r="B14" s="21" t="s">
        <v>115</v>
      </c>
    </row>
    <row r="16" customFormat="false" ht="36" hidden="false" customHeight="true" outlineLevel="0" collapsed="false">
      <c r="A16" s="22" t="s">
        <v>119</v>
      </c>
      <c r="B16" s="22"/>
    </row>
  </sheetData>
  <mergeCells count="5">
    <mergeCell ref="A1:B1"/>
    <mergeCell ref="A7:B7"/>
    <mergeCell ref="A8:B8"/>
    <mergeCell ref="A10:B10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2026-05-26T03:18:26Z</dcterms:created>
  <dc:creator>openpyxl</dc:creator>
  <dc:description/>
  <dc:language>en-US</dc:language>
  <cp:lastModifiedBy/>
  <dcterms:modified xsi:type="dcterms:W3CDTF">2026-05-26T03:18:26Z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