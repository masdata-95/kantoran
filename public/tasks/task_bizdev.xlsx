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Partner Database" sheetId="1" state="visible" r:id="rId3"/>
    <sheet name="📋 Brief &amp; Subm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<sst xmlns="http://schemas.openxmlformats.org/spreadsheetml/2006/main" count="75" uniqueCount="68">
  <si>
    <t xml:space="preserve">PT Vantara Nusantara — Database Calon Distributor Regional | Tugasmu: evaluasi dan shortlist 3 partner terbaik</t>
  </si>
  <si>
    <t xml:space="preserve">KRITERIA EVALUASI: Track Record (35%) | Coverage Area (25%) | Kapasitas (20%) | Financial Health (20%) | Score total max = 100</t>
  </si>
  <si>
    <t xml:space="preserve">no</t>
  </si>
  <si>
    <t xml:space="preserve">nama_perusahaan</t>
  </si>
  <si>
    <t xml:space="preserve">wilayah</t>
  </si>
  <si>
    <t xml:space="preserve">kota_coverage</t>
  </si>
  <si>
    <t xml:space="preserve">track_record</t>
  </si>
  <si>
    <t xml:space="preserve">tahun_berdiri</t>
  </si>
  <si>
    <t xml:space="preserve">dispute_history</t>
  </si>
  <si>
    <t xml:space="preserve">kapasitas_gudang</t>
  </si>
  <si>
    <t xml:space="preserve">est_revenue_pertahun (Rp)</t>
  </si>
  <si>
    <t xml:space="preserve">score_track_record (max 35)</t>
  </si>
  <si>
    <t xml:space="preserve">score_coverage (max 25)</t>
  </si>
  <si>
    <t xml:space="preserve">score_kapasitas (max 20)</t>
  </si>
  <si>
    <t xml:space="preserve">score_financial (max 20)</t>
  </si>
  <si>
    <t xml:space="preserve">total_score</t>
  </si>
  <si>
    <t xml:space="preserve">rekomendasi</t>
  </si>
  <si>
    <t xml:space="preserve">catatan_analis</t>
  </si>
  <si>
    <t xml:space="preserve">PT Maju Bersama Sejahtera</t>
  </si>
  <si>
    <t xml:space="preserve">Sulawesi (Selatan, Tengah, Utara)</t>
  </si>
  <si>
    <t xml:space="preserve">5 kota besar</t>
  </si>
  <si>
    <t xml:space="preserve">Excellent — 8 tahun, zero dispute, 3 klien besar</t>
  </si>
  <si>
    <t xml:space="preserve">Tidak ada</t>
  </si>
  <si>
    <t xml:space="preserve">High (2000 palet)</t>
  </si>
  <si>
    <t xml:space="preserve">CV Sinar Nusa Khatulistiwa</t>
  </si>
  <si>
    <t xml:space="preserve">Kalimantan (Timur, Selatan)</t>
  </si>
  <si>
    <t xml:space="preserve">3 kota</t>
  </si>
  <si>
    <t xml:space="preserve">Good — 3 tahun, 1x late payment Q2 2024</t>
  </si>
  <si>
    <t xml:space="preserve">1x keterlambatan pembayaran</t>
  </si>
  <si>
    <t xml:space="preserve">Medium (800 palet)</t>
  </si>
  <si>
    <t xml:space="preserve">PT Andalan Distribusi Prima</t>
  </si>
  <si>
    <t xml:space="preserve">Papua &amp; Maluku (8 kota + remote)</t>
  </si>
  <si>
    <t xml:space="preserve">8 kota + area remote</t>
  </si>
  <si>
    <t xml:space="preserve">Very Good — 5 tahun, clean record</t>
  </si>
  <si>
    <t xml:space="preserve">High (1500 palet)</t>
  </si>
  <si>
    <t xml:space="preserve">UD Berkah Jaya Abadi</t>
  </si>
  <si>
    <t xml:space="preserve">NTT &amp; NTB</t>
  </si>
  <si>
    <t xml:space="preserve">4 kota</t>
  </si>
  <si>
    <t xml:space="preserve">Poor — 2 tahun, 3x dispute kontrak</t>
  </si>
  <si>
    <t xml:space="preserve">3x dispute kontrak — PERHATIAN</t>
  </si>
  <si>
    <t xml:space="preserve">Low (400 palet)</t>
  </si>
  <si>
    <t xml:space="preserve">PT Timur Cemerlang Mandiri</t>
  </si>
  <si>
    <t xml:space="preserve">Sulawesi Utara &amp; Gorontalo</t>
  </si>
  <si>
    <t xml:space="preserve">Good — 6 tahun, stabil</t>
  </si>
  <si>
    <t xml:space="preserve">Medium (900 palet)</t>
  </si>
  <si>
    <t xml:space="preserve">CV Prima Distribusi</t>
  </si>
  <si>
    <t xml:space="preserve">Kalimantan Utara &amp; Tengah</t>
  </si>
  <si>
    <t xml:space="preserve">Good — 4 tahun, 1 minor dispute</t>
  </si>
  <si>
    <t xml:space="preserve">1x minor dispute resolved</t>
  </si>
  <si>
    <t xml:space="preserve">Medium (750 palet)</t>
  </si>
  <si>
    <t xml:space="preserve">TASK BRIEF — Partner Database Evaluation — Distributor Regional</t>
  </si>
  <si>
    <t xml:space="preserve">Deskripsi Task</t>
  </si>
  <si>
    <t xml:space="preserve">Evaluasi setiap calon partner berdasarkan kriteria yang sudah ditentukan, isi score masing-masing, dan shortlist 3 terbaik untuk roadshow.</t>
  </si>
  <si>
    <t xml:space="preserve">Deadline</t>
  </si>
  <si>
    <t xml:space="preserve">Besok jam 09.00</t>
  </si>
  <si>
    <t xml:space="preserve">Dikirim ke</t>
  </si>
  <si>
    <t xml:space="preserve">Supervisor (via Simulator Kantoran)</t>
  </si>
  <si>
    <t xml:space="preserve">Format</t>
  </si>
  <si>
    <t xml:space="preserve">Isi kolom Analysis Notes di sheet Data, lalu isi form submission di bawah</t>
  </si>
  <si>
    <t xml:space="preserve">💡 PANDUAN</t>
  </si>
  <si>
    <t xml:space="preserve">Petunjuk: (1) Isi score untuk setiap kriteria (track_record, coverage, kapasitas, financial) berdasarkan data yang tersedia, (2) Perhatikan dispute history — ini sangat mempengaruhi score track record, (3) Shortlist 3 partner dengan total score tertinggi, (4) Sertakan justifikasi dan next steps.</t>
  </si>
  <si>
    <t xml:space="preserve">📝 FORM SUBMISSION — Isi di sini setelah analisis selesai</t>
  </si>
  <si>
    <t xml:space="preserve">3 partner yang kamu rekomendasikan (dengan skor masing-masing)</t>
  </si>
  <si>
    <t xml:space="preserve">[Isi jawaban kamu di sini]</t>
  </si>
  <si>
    <t xml:space="preserve">Alasan utama merekomendasikan tiap partner</t>
  </si>
  <si>
    <t xml:space="preserve">Partner yang kamu eliminasi dan alasannya</t>
  </si>
  <si>
    <t xml:space="preserve">Next steps yang kamu usulkan untuk 3 partner pilihan</t>
  </si>
  <si>
    <t xml:space="preserve">⚠️  Setelah mengisi form di atas, kembali ke Simulator Kantoran dan klik "Submit ke Supervisor"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</si>
</sst>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444441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854F0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DCFCE7"/>
      </patternFill>
    </fill>
    <fill>
      <patternFill patternType="solid">
        <fgColor rgb="FF085041"/>
        <bgColor rgb="FF0F6E56"/>
      </patternFill>
    </fill>
    <fill>
      <patternFill patternType="solid">
        <fgColor rgb="FFF9F9F7"/>
        <bgColor rgb="FFFFFFFF"/>
      </patternFill>
    </fill>
    <fill>
      <patternFill patternType="solid">
        <fgColor rgb="FFDCFCE7"/>
        <bgColor rgb="FFE1F5EE"/>
      </patternFill>
    </fill>
    <fill>
      <patternFill patternType="solid">
        <fgColor rgb="FFFFFFFF"/>
        <bgColor rgb="FFF9F9F7"/>
      </patternFill>
    </fill>
    <fill>
      <patternFill patternType="solid">
        <fgColor rgb="FFFDECEA"/>
        <bgColor rgb="FFFAEEDA"/>
      </patternFill>
    </fill>
    <fill>
      <patternFill patternType="solid">
        <fgColor rgb="FFF1EFE8"/>
        <bgColor rgb="FFFAEEDA"/>
      </patternFill>
    </fill>
    <fill>
      <patternFill patternType="solid">
        <fgColor rgb="FF1D9E75"/>
        <bgColor rgb="FF008080"/>
      </patternFill>
    </fill>
    <fill>
      <patternFill patternType="solid">
        <fgColor rgb="FFFAEEDA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08080"/>
      <rgbColor rgb="FFAAAAAA"/>
      <rgbColor rgb="FF993366"/>
      <rgbColor rgb="FFFAEEDA"/>
      <rgbColor rgb="FFDCFCE7"/>
      <rgbColor rgb="FF660066"/>
      <rgbColor rgb="FFFF8080"/>
      <rgbColor rgb="FF0066CC"/>
      <rgbColor rgb="FFF9F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F1EFE8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85041"/>
      <rgbColor rgb="FF1D9E75"/>
      <rgbColor rgb="FF003300"/>
      <rgbColor rgb="FF333300"/>
      <rgbColor rgb="FF8B1A1A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4"/>
    <col collapsed="false" customWidth="true" hidden="false" outlineLevel="0" max="13" min="10" style="1" width="22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4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customFormat="false" ht="23.25" hidden="false" customHeight="true" outlineLevel="0" collapsed="false">
      <c r="A4" s="5" t="n">
        <v>1</v>
      </c>
      <c r="B4" s="5" t="s">
        <v>18</v>
      </c>
      <c r="C4" s="5" t="s">
        <v>19</v>
      </c>
      <c r="D4" s="5" t="s">
        <v>20</v>
      </c>
      <c r="E4" s="5" t="s">
        <v>21</v>
      </c>
      <c r="F4" s="5" t="n">
        <v>2017</v>
      </c>
      <c r="G4" s="5" t="s">
        <v>22</v>
      </c>
      <c r="H4" s="5" t="s">
        <v>23</v>
      </c>
      <c r="I4" s="6" t="n">
        <v>2100000000</v>
      </c>
      <c r="J4" s="7"/>
      <c r="K4" s="7"/>
      <c r="L4" s="7"/>
      <c r="M4" s="7"/>
      <c r="N4" s="5" t="n">
        <f aca="false">IFERROR(VALUE(J4),0)+IFERROR(VALUE(K4),0)+IFERROR(VALUE(L4),0)+IFERROR(VALUE(M4),0)</f>
        <v>0</v>
      </c>
      <c r="O4" s="5" t="str">
        <f aca="false">IF(IFERROR(VALUE(N4),0)&gt;=70,"✅ Rekomendasikan",IF(IFERROR(VALUE(N4),0)&gt;=50,"⚠️ Pertimbangkan","❌ Tidak"))</f>
        <v>❌ Tidak</v>
      </c>
      <c r="P4" s="8"/>
    </row>
    <row r="5" customFormat="false" ht="23.25" hidden="false" customHeight="true" outlineLevel="0" collapsed="false">
      <c r="A5" s="9" t="n">
        <v>2</v>
      </c>
      <c r="B5" s="9" t="s">
        <v>24</v>
      </c>
      <c r="C5" s="9" t="s">
        <v>25</v>
      </c>
      <c r="D5" s="9" t="s">
        <v>26</v>
      </c>
      <c r="E5" s="9" t="s">
        <v>27</v>
      </c>
      <c r="F5" s="9" t="n">
        <v>2022</v>
      </c>
      <c r="G5" s="9" t="s">
        <v>28</v>
      </c>
      <c r="H5" s="9" t="s">
        <v>29</v>
      </c>
      <c r="I5" s="10" t="n">
        <v>850000000</v>
      </c>
      <c r="J5" s="7"/>
      <c r="K5" s="7"/>
      <c r="L5" s="7"/>
      <c r="M5" s="7"/>
      <c r="N5" s="9" t="n">
        <f aca="false">IFERROR(VALUE(J5),0)+IFERROR(VALUE(K5),0)+IFERROR(VALUE(L5),0)+IFERROR(VALUE(M5),0)</f>
        <v>0</v>
      </c>
      <c r="O5" s="9" t="str">
        <f aca="false">IF(IFERROR(VALUE(N5),0)&gt;=70,"✅ Rekomendasikan",IF(IFERROR(VALUE(N5),0)&gt;=50,"⚠️ Pertimbangkan","❌ Tidak"))</f>
        <v>❌ Tidak</v>
      </c>
      <c r="P5" s="8"/>
    </row>
    <row r="6" customFormat="false" ht="23.25" hidden="false" customHeight="true" outlineLevel="0" collapsed="false">
      <c r="A6" s="5" t="n">
        <v>3</v>
      </c>
      <c r="B6" s="5" t="s">
        <v>30</v>
      </c>
      <c r="C6" s="5" t="s">
        <v>31</v>
      </c>
      <c r="D6" s="5" t="s">
        <v>32</v>
      </c>
      <c r="E6" s="5" t="s">
        <v>33</v>
      </c>
      <c r="F6" s="5" t="n">
        <v>2020</v>
      </c>
      <c r="G6" s="5" t="s">
        <v>22</v>
      </c>
      <c r="H6" s="5" t="s">
        <v>34</v>
      </c>
      <c r="I6" s="6" t="n">
        <v>1400000000</v>
      </c>
      <c r="J6" s="7"/>
      <c r="K6" s="7"/>
      <c r="L6" s="7"/>
      <c r="M6" s="7"/>
      <c r="N6" s="5" t="n">
        <f aca="false">IFERROR(VALUE(J6),0)+IFERROR(VALUE(K6),0)+IFERROR(VALUE(L6),0)+IFERROR(VALUE(M6),0)</f>
        <v>0</v>
      </c>
      <c r="O6" s="5" t="str">
        <f aca="false">IF(IFERROR(VALUE(N6),0)&gt;=70,"✅ Rekomendasikan",IF(IFERROR(VALUE(N6),0)&gt;=50,"⚠️ Pertimbangkan","❌ Tidak"))</f>
        <v>❌ Tidak</v>
      </c>
      <c r="P6" s="8"/>
    </row>
    <row r="7" customFormat="false" ht="23.25" hidden="false" customHeight="true" outlineLevel="0" collapsed="false">
      <c r="A7" s="9" t="n">
        <v>4</v>
      </c>
      <c r="B7" s="9" t="s">
        <v>35</v>
      </c>
      <c r="C7" s="9" t="s">
        <v>36</v>
      </c>
      <c r="D7" s="9" t="s">
        <v>37</v>
      </c>
      <c r="E7" s="9" t="s">
        <v>38</v>
      </c>
      <c r="F7" s="9" t="n">
        <v>2023</v>
      </c>
      <c r="G7" s="11" t="s">
        <v>39</v>
      </c>
      <c r="H7" s="9" t="s">
        <v>40</v>
      </c>
      <c r="I7" s="10" t="n">
        <v>450000000</v>
      </c>
      <c r="J7" s="7"/>
      <c r="K7" s="7"/>
      <c r="L7" s="7"/>
      <c r="M7" s="7"/>
      <c r="N7" s="9" t="n">
        <f aca="false">IFERROR(VALUE(J7),0)+IFERROR(VALUE(K7),0)+IFERROR(VALUE(L7),0)+IFERROR(VALUE(M7),0)</f>
        <v>0</v>
      </c>
      <c r="O7" s="9" t="str">
        <f aca="false">IF(IFERROR(VALUE(N7),0)&gt;=70,"✅ Rekomendasikan",IF(IFERROR(VALUE(N7),0)&gt;=50,"⚠️ Pertimbangkan","❌ Tidak"))</f>
        <v>❌ Tidak</v>
      </c>
      <c r="P7" s="8"/>
    </row>
    <row r="8" customFormat="false" ht="23.25" hidden="false" customHeight="true" outlineLevel="0" collapsed="false">
      <c r="A8" s="5" t="n">
        <v>5</v>
      </c>
      <c r="B8" s="5" t="s">
        <v>41</v>
      </c>
      <c r="C8" s="5" t="s">
        <v>42</v>
      </c>
      <c r="D8" s="5" t="s">
        <v>37</v>
      </c>
      <c r="E8" s="5" t="s">
        <v>43</v>
      </c>
      <c r="F8" s="5" t="n">
        <v>2019</v>
      </c>
      <c r="G8" s="5" t="s">
        <v>22</v>
      </c>
      <c r="H8" s="5" t="s">
        <v>44</v>
      </c>
      <c r="I8" s="6" t="n">
        <v>920000000</v>
      </c>
      <c r="J8" s="7"/>
      <c r="K8" s="7"/>
      <c r="L8" s="7"/>
      <c r="M8" s="7"/>
      <c r="N8" s="5" t="n">
        <f aca="false">IFERROR(VALUE(J8),0)+IFERROR(VALUE(K8),0)+IFERROR(VALUE(L8),0)+IFERROR(VALUE(M8),0)</f>
        <v>0</v>
      </c>
      <c r="O8" s="5" t="str">
        <f aca="false">IF(IFERROR(VALUE(N8),0)&gt;=70,"✅ Rekomendasikan",IF(IFERROR(VALUE(N8),0)&gt;=50,"⚠️ Pertimbangkan","❌ Tidak"))</f>
        <v>❌ Tidak</v>
      </c>
      <c r="P8" s="8"/>
    </row>
    <row r="9" customFormat="false" ht="23.25" hidden="false" customHeight="true" outlineLevel="0" collapsed="false">
      <c r="A9" s="9" t="n">
        <v>6</v>
      </c>
      <c r="B9" s="9" t="s">
        <v>45</v>
      </c>
      <c r="C9" s="9" t="s">
        <v>46</v>
      </c>
      <c r="D9" s="9" t="s">
        <v>26</v>
      </c>
      <c r="E9" s="9" t="s">
        <v>47</v>
      </c>
      <c r="F9" s="9" t="n">
        <v>2021</v>
      </c>
      <c r="G9" s="9" t="s">
        <v>48</v>
      </c>
      <c r="H9" s="9" t="s">
        <v>49</v>
      </c>
      <c r="I9" s="10" t="n">
        <v>680000000</v>
      </c>
      <c r="J9" s="7"/>
      <c r="K9" s="7"/>
      <c r="L9" s="7"/>
      <c r="M9" s="7"/>
      <c r="N9" s="9" t="n">
        <f aca="false">IFERROR(VALUE(J9),0)+IFERROR(VALUE(K9),0)+IFERROR(VALUE(L9),0)+IFERROR(VALUE(M9),0)</f>
        <v>0</v>
      </c>
      <c r="O9" s="9" t="str">
        <f aca="false">IF(IFERROR(VALUE(N9),0)&gt;=70,"✅ Rekomendasikan",IF(IFERROR(VALUE(N9),0)&gt;=50,"⚠️ Pertimbangkan","❌ Tidak"))</f>
        <v>❌ Tidak</v>
      </c>
      <c r="P9" s="8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0"/>
  </cols>
  <sheetData>
    <row r="1" customFormat="false" ht="31.5" hidden="false" customHeight="true" outlineLevel="0" collapsed="false">
      <c r="A1" s="12" t="s">
        <v>50</v>
      </c>
      <c r="B1" s="12"/>
    </row>
    <row r="2" customFormat="false" ht="36" hidden="false" customHeight="true" outlineLevel="0" collapsed="false">
      <c r="A2" s="13" t="s">
        <v>51</v>
      </c>
      <c r="B2" s="14" t="s">
        <v>52</v>
      </c>
    </row>
    <row r="3" customFormat="false" ht="36" hidden="false" customHeight="true" outlineLevel="0" collapsed="false">
      <c r="A3" s="13" t="s">
        <v>53</v>
      </c>
      <c r="B3" s="14" t="s">
        <v>54</v>
      </c>
    </row>
    <row r="4" customFormat="false" ht="36" hidden="false" customHeight="true" outlineLevel="0" collapsed="false">
      <c r="A4" s="13" t="s">
        <v>55</v>
      </c>
      <c r="B4" s="14" t="s">
        <v>56</v>
      </c>
    </row>
    <row r="5" customFormat="false" ht="36" hidden="false" customHeight="true" outlineLevel="0" collapsed="false">
      <c r="A5" s="13" t="s">
        <v>57</v>
      </c>
      <c r="B5" s="14" t="s">
        <v>58</v>
      </c>
    </row>
    <row r="7" customFormat="false" ht="24" hidden="false" customHeight="true" outlineLevel="0" collapsed="false">
      <c r="A7" s="15" t="s">
        <v>59</v>
      </c>
      <c r="B7" s="15"/>
    </row>
    <row r="8" customFormat="false" ht="60" hidden="false" customHeight="true" outlineLevel="0" collapsed="false">
      <c r="A8" s="16" t="s">
        <v>60</v>
      </c>
      <c r="B8" s="16"/>
    </row>
    <row r="10" customFormat="false" ht="27.75" hidden="false" customHeight="true" outlineLevel="0" collapsed="false">
      <c r="A10" s="17" t="s">
        <v>61</v>
      </c>
      <c r="B10" s="17"/>
    </row>
    <row r="11" customFormat="false" ht="49.5" hidden="false" customHeight="true" outlineLevel="0" collapsed="false">
      <c r="A11" s="13" t="s">
        <v>62</v>
      </c>
      <c r="B11" s="18" t="s">
        <v>63</v>
      </c>
    </row>
    <row r="12" customFormat="false" ht="49.5" hidden="false" customHeight="true" outlineLevel="0" collapsed="false">
      <c r="A12" s="13" t="s">
        <v>64</v>
      </c>
      <c r="B12" s="18" t="s">
        <v>63</v>
      </c>
    </row>
    <row r="13" customFormat="false" ht="49.5" hidden="false" customHeight="true" outlineLevel="0" collapsed="false">
      <c r="A13" s="13" t="s">
        <v>65</v>
      </c>
      <c r="B13" s="18" t="s">
        <v>63</v>
      </c>
    </row>
    <row r="14" customFormat="false" ht="49.5" hidden="false" customHeight="true" outlineLevel="0" collapsed="false">
      <c r="A14" s="13" t="s">
        <v>66</v>
      </c>
      <c r="B14" s="18" t="s">
        <v>63</v>
      </c>
    </row>
    <row r="16" customFormat="false" ht="36" hidden="false" customHeight="true" outlineLevel="0" collapsed="false">
      <c r="A16" s="19" t="s">
        <v>67</v>
      </c>
      <c r="B16" s="19"/>
    </row>
  </sheetData>
  <mergeCells count="5">
    <mergeCell ref="A1:B1"/>
    <mergeCell ref="A7:B7"/>
    <mergeCell ref="A8:B8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2026-05-26T03:18:26Z</dcterms:created>
  <dc:creator>openpyxl</dc:creator>
  <dc:description/>
  <dc:language>en-US</dc:language>
  <cp:lastModifiedBy/>
  <dcterms:modified xsi:type="dcterms:W3CDTF">2026-05-26T03:18:58Z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